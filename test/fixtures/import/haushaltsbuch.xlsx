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5"/>
    <sheet state="visible" name="2024" sheetId="2" r:id="rId6"/>
  </sheets>
  <definedNames/>
  <calcPr/>
</workbook>
</file>

<file path=xl/sharedStrings.xml><?xml version="1.0" encoding="utf-8"?>
<sst xmlns="http://schemas.openxmlformats.org/spreadsheetml/2006/main" count="571" uniqueCount="114">
  <si>
    <t xml:space="preserve">Haushaltsbuch 2023</t>
  </si>
  <si>
    <t xml:space="preserve">Girokonto Sparkasse – alle Beträge in EUR</t>
  </si>
  <si>
    <t xml:space="preserve">Datum</t>
  </si>
  <si>
    <t xml:space="preserve">Empfänger</t>
  </si>
  <si>
    <t xml:space="preserve">Verwendungszweck</t>
  </si>
  <si>
    <t xml:space="preserve">Kategorie</t>
  </si>
  <si>
    <t xml:space="preserve">Betrag</t>
  </si>
  <si>
    <t xml:space="preserve">Kontostand</t>
  </si>
  <si>
    <t xml:space="preserve">Beleg-Nr.</t>
  </si>
  <si>
    <t xml:space="preserve">Arbeitgeber GmbH</t>
  </si>
  <si>
    <t xml:space="preserve">Gehalt Januar</t>
  </si>
  <si>
    <t xml:space="preserve">Einkommen &gt; Gehalt</t>
  </si>
  <si>
    <t xml:space="preserve">Hausverwaltung Schmidt</t>
  </si>
  <si>
    <t xml:space="preserve">Miete Januar</t>
  </si>
  <si>
    <t xml:space="preserve">Wohnen &gt; Miete</t>
  </si>
  <si>
    <t xml:space="preserve">Stadtwerke</t>
  </si>
  <si>
    <t xml:space="preserve">Abschlag Strom</t>
  </si>
  <si>
    <t xml:space="preserve">Wohnen &gt; Nebenkosten</t>
  </si>
  <si>
    <t xml:space="preserve">REWE Markt</t>
  </si>
  <si>
    <t xml:space="preserve">Einkauf</t>
  </si>
  <si>
    <t xml:space="preserve">Lebensmittel &gt; Supermarkt</t>
  </si>
  <si>
    <t xml:space="preserve">R-0001</t>
  </si>
  <si>
    <t xml:space="preserve">Eigenes Sparkonto</t>
  </si>
  <si>
    <t xml:space="preserve">Umbuchung Sparkonto</t>
  </si>
  <si>
    <t xml:space="preserve">Umbuchung</t>
  </si>
  <si>
    <t xml:space="preserve">Aral Tankstelle</t>
  </si>
  <si>
    <t xml:space="preserve">Tanken</t>
  </si>
  <si>
    <t xml:space="preserve">Mobilität &gt; Kraftstoff</t>
  </si>
  <si>
    <t xml:space="preserve">R-0002</t>
  </si>
  <si>
    <t xml:space="preserve">Trattoria Da Mario</t>
  </si>
  <si>
    <t xml:space="preserve">Abendessen</t>
  </si>
  <si>
    <t xml:space="preserve">Freizeit &gt; Restaurant</t>
  </si>
  <si>
    <t xml:space="preserve">Bäckerei Müller</t>
  </si>
  <si>
    <t xml:space="preserve">Brötchen</t>
  </si>
  <si>
    <t xml:space="preserve">Lebensmittel &gt; Bäckerei</t>
  </si>
  <si>
    <t xml:space="preserve">Telekom</t>
  </si>
  <si>
    <t xml:space="preserve">Mobilfunk</t>
  </si>
  <si>
    <t xml:space="preserve">Kommunikation &gt; Handy</t>
  </si>
  <si>
    <t xml:space="preserve">Summe Januar</t>
  </si>
  <si>
    <t xml:space="preserve">Gehalt Februar</t>
  </si>
  <si>
    <t xml:space="preserve">Miete Februar</t>
  </si>
  <si>
    <t xml:space="preserve">R-0003</t>
  </si>
  <si>
    <t xml:space="preserve">R-0004</t>
  </si>
  <si>
    <t xml:space="preserve">Summe Februar</t>
  </si>
  <si>
    <t xml:space="preserve">Gehalt März</t>
  </si>
  <si>
    <t xml:space="preserve">Miete März</t>
  </si>
  <si>
    <t xml:space="preserve">R-0005</t>
  </si>
  <si>
    <t xml:space="preserve">R-0006</t>
  </si>
  <si>
    <t xml:space="preserve">Summe März</t>
  </si>
  <si>
    <t xml:space="preserve">Gehalt April</t>
  </si>
  <si>
    <t xml:space="preserve">Miete April</t>
  </si>
  <si>
    <t xml:space="preserve">R-0007</t>
  </si>
  <si>
    <t xml:space="preserve">R-0008</t>
  </si>
  <si>
    <t xml:space="preserve">Summe April</t>
  </si>
  <si>
    <t xml:space="preserve">Gehalt Mai</t>
  </si>
  <si>
    <t xml:space="preserve">Miete Mai</t>
  </si>
  <si>
    <t xml:space="preserve">R-0009</t>
  </si>
  <si>
    <t xml:space="preserve">R-0010</t>
  </si>
  <si>
    <t xml:space="preserve">Summe Mai</t>
  </si>
  <si>
    <t xml:space="preserve">Gehalt Juni</t>
  </si>
  <si>
    <t xml:space="preserve">Miete Juni</t>
  </si>
  <si>
    <t xml:space="preserve">R-0011</t>
  </si>
  <si>
    <t xml:space="preserve">R-0012</t>
  </si>
  <si>
    <t xml:space="preserve">Summe Juni</t>
  </si>
  <si>
    <t xml:space="preserve">Gehalt Juli</t>
  </si>
  <si>
    <t xml:space="preserve">Miete Juli</t>
  </si>
  <si>
    <t xml:space="preserve">R-0013</t>
  </si>
  <si>
    <t xml:space="preserve">R-0014</t>
  </si>
  <si>
    <t xml:space="preserve">Summe Juli</t>
  </si>
  <si>
    <t xml:space="preserve">Gehalt August</t>
  </si>
  <si>
    <t xml:space="preserve">Miete August</t>
  </si>
  <si>
    <t xml:space="preserve">R-0015</t>
  </si>
  <si>
    <t xml:space="preserve">R-0016</t>
  </si>
  <si>
    <t xml:space="preserve">Reisebüro Sonnenschein</t>
  </si>
  <si>
    <t xml:space="preserve">Urlaub Italien</t>
  </si>
  <si>
    <t xml:space="preserve">Freizeit &gt; Urlaub</t>
  </si>
  <si>
    <t xml:space="preserve">Summe August</t>
  </si>
  <si>
    <t xml:space="preserve">Gehalt September</t>
  </si>
  <si>
    <t xml:space="preserve">Miete September</t>
  </si>
  <si>
    <t xml:space="preserve">R-0017</t>
  </si>
  <si>
    <t xml:space="preserve">R-0018</t>
  </si>
  <si>
    <t xml:space="preserve">Summe September</t>
  </si>
  <si>
    <t xml:space="preserve">Gehalt Oktober</t>
  </si>
  <si>
    <t xml:space="preserve">Miete Oktober</t>
  </si>
  <si>
    <t xml:space="preserve">R-0019</t>
  </si>
  <si>
    <t xml:space="preserve">R-0020</t>
  </si>
  <si>
    <t xml:space="preserve">Summe Oktober</t>
  </si>
  <si>
    <t xml:space="preserve">Gehalt November</t>
  </si>
  <si>
    <t xml:space="preserve">Miete November</t>
  </si>
  <si>
    <t xml:space="preserve">R-0021</t>
  </si>
  <si>
    <t xml:space="preserve">R-0022</t>
  </si>
  <si>
    <t xml:space="preserve">Weihnachtsgeld</t>
  </si>
  <si>
    <t xml:space="preserve">Summe November</t>
  </si>
  <si>
    <t xml:space="preserve">Gehalt Dezember</t>
  </si>
  <si>
    <t xml:space="preserve">Miete Dezember</t>
  </si>
  <si>
    <t xml:space="preserve">R-0023</t>
  </si>
  <si>
    <t xml:space="preserve">R-0024</t>
  </si>
  <si>
    <t xml:space="preserve">Summe Dezember</t>
  </si>
  <si>
    <t xml:space="preserve">Haushaltsbuch 2024</t>
  </si>
  <si>
    <t xml:space="preserve">Übertrag aus 2023</t>
  </si>
  <si>
    <t xml:space="preserve">R-0500</t>
  </si>
  <si>
    <t xml:space="preserve">R-0501</t>
  </si>
  <si>
    <t xml:space="preserve">R-0502</t>
  </si>
  <si>
    <t xml:space="preserve">R-0503</t>
  </si>
  <si>
    <t xml:space="preserve">R-0504</t>
  </si>
  <si>
    <t xml:space="preserve">Umbuchung vom Sparkonto</t>
  </si>
  <si>
    <t xml:space="preserve">R-0505</t>
  </si>
  <si>
    <t xml:space="preserve">R-0506</t>
  </si>
  <si>
    <t xml:space="preserve">R-0507</t>
  </si>
  <si>
    <t xml:space="preserve">R-0508</t>
  </si>
  <si>
    <t xml:space="preserve">R-0509</t>
  </si>
  <si>
    <t xml:space="preserve">R-0510</t>
  </si>
  <si>
    <t xml:space="preserve">R-0511</t>
  </si>
  <si>
    <t xml:space="preserve">TOTAL Tankstelle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</si>
</sst>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/>
    <xf borderId="0" fillId="0" fontId="1" numFmtId="2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7"/>
  <sheetViews>
    <sheetView workbookViewId="0"/>
  </sheetViews>
  <sheetData>
    <row r="1">
      <c r="A1" t="s">
        <v>0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>
      <c r="A5" s="2">
        <v>44927.0</v>
      </c>
      <c r="B5" s="1" t="s">
        <v>9</v>
      </c>
      <c r="C5" s="1" t="s">
        <v>10</v>
      </c>
      <c r="D5" s="1" t="s">
        <v>11</v>
      </c>
      <c r="E5" s="3">
        <v>3250.0</v>
      </c>
      <c r="F5" s="3">
        <v>4484.56</v>
      </c>
    </row>
    <row r="6">
      <c r="A6" s="2">
        <v>44927.0</v>
      </c>
      <c r="B6" s="1" t="s">
        <v>12</v>
      </c>
      <c r="C6" s="1" t="s">
        <v>13</v>
      </c>
      <c r="D6" s="1" t="s">
        <v>14</v>
      </c>
      <c r="E6" s="3">
        <v>-980.0</v>
      </c>
      <c r="F6" s="1">
        <f>F5+E6</f>
        <v>3504.56</v>
      </c>
    </row>
    <row r="7">
      <c r="A7" s="2">
        <v>44929.0</v>
      </c>
      <c r="B7" s="1" t="s">
        <v>15</v>
      </c>
      <c r="C7" s="1" t="s">
        <v>16</v>
      </c>
      <c r="D7" s="1" t="s">
        <v>17</v>
      </c>
      <c r="E7" s="3">
        <v>-65.0</v>
      </c>
      <c r="F7" s="1">
        <f>F6+E7</f>
        <v>3439.56</v>
      </c>
    </row>
    <row r="8">
      <c r="A8" s="2">
        <v>44931.0</v>
      </c>
      <c r="B8" s="1" t="s">
        <v>18</v>
      </c>
      <c r="C8" s="1" t="s">
        <v>19</v>
      </c>
      <c r="D8" s="1" t="s">
        <v>20</v>
      </c>
      <c r="E8" s="3">
        <v>-46.78</v>
      </c>
      <c r="F8" s="1">
        <f>F7+E8</f>
        <v>3392.78</v>
      </c>
      <c r="G8" s="1" t="s">
        <v>21</v>
      </c>
    </row>
    <row r="9">
      <c r="A9" s="2">
        <v>44934.0</v>
      </c>
      <c r="B9" s="1" t="s">
        <v>22</v>
      </c>
      <c r="C9" s="1" t="s">
        <v>23</v>
      </c>
      <c r="D9" s="1" t="s">
        <v>24</v>
      </c>
      <c r="E9" s="3">
        <v>-200.0</v>
      </c>
      <c r="F9" s="1">
        <f>F8+E9</f>
        <v>3192.78</v>
      </c>
    </row>
    <row r="10">
      <c r="A10" s="2">
        <v>44938.0</v>
      </c>
      <c r="B10" s="1" t="s">
        <v>25</v>
      </c>
      <c r="C10" s="1" t="s">
        <v>26</v>
      </c>
      <c r="D10" s="1" t="s">
        <v>27</v>
      </c>
      <c r="E10" s="3">
        <v>-59.13</v>
      </c>
      <c r="F10" s="1">
        <f>F9+E10</f>
        <v>3133.65</v>
      </c>
      <c r="G10" s="1" t="s">
        <v>28</v>
      </c>
    </row>
    <row r="11">
      <c r="A11" s="2">
        <v>44941.0</v>
      </c>
      <c r="B11" s="1" t="s">
        <v>29</v>
      </c>
      <c r="C11" s="1" t="s">
        <v>30</v>
      </c>
      <c r="D11" s="1" t="s">
        <v>31</v>
      </c>
      <c r="E11" s="3">
        <v>-36.75</v>
      </c>
      <c r="F11" s="1">
        <f>F10+E11</f>
        <v>3096.9</v>
      </c>
    </row>
    <row r="12">
      <c r="A12" s="2">
        <v>44946.0</v>
      </c>
      <c r="B12" s="1" t="s">
        <v>32</v>
      </c>
      <c r="C12" s="1" t="s">
        <v>33</v>
      </c>
      <c r="D12" s="1" t="s">
        <v>34</v>
      </c>
      <c r="E12" s="3">
        <v>-8.9</v>
      </c>
      <c r="F12" s="1">
        <f>F11+E12</f>
        <v>3088.0</v>
      </c>
    </row>
    <row r="13">
      <c r="A13" s="2">
        <v>44951.0</v>
      </c>
      <c r="B13" s="1" t="s">
        <v>35</v>
      </c>
      <c r="C13" s="1" t="s">
        <v>36</v>
      </c>
      <c r="D13" s="1" t="s">
        <v>37</v>
      </c>
      <c r="E13" s="3">
        <v>-19.99</v>
      </c>
      <c r="F13" s="1">
        <f>F12+E13</f>
        <v>3068.01</v>
      </c>
    </row>
    <row r="14">
      <c r="A14" s="1" t="s">
        <v>38</v>
      </c>
      <c r="E14" s="1">
        <f>SUM(E5:E13)</f>
        <v>1833.45</v>
      </c>
    </row>
    <row r="16">
      <c r="A16" s="2">
        <v>44958.0</v>
      </c>
      <c r="B16" s="1" t="s">
        <v>9</v>
      </c>
      <c r="C16" s="1" t="s">
        <v>39</v>
      </c>
      <c r="D16" s="1" t="s">
        <v>11</v>
      </c>
      <c r="E16" s="3">
        <v>3250.0</v>
      </c>
      <c r="F16" s="1">
        <f>F13+E16</f>
        <v>6318.01</v>
      </c>
    </row>
    <row r="17">
      <c r="A17" s="2">
        <v>44958.0</v>
      </c>
      <c r="B17" s="1" t="s">
        <v>12</v>
      </c>
      <c r="C17" s="1" t="s">
        <v>40</v>
      </c>
      <c r="D17" s="1" t="s">
        <v>14</v>
      </c>
      <c r="E17" s="3">
        <v>-980.0</v>
      </c>
      <c r="F17" s="1">
        <f>F16+E17</f>
        <v>5338.01</v>
      </c>
    </row>
    <row r="18">
      <c r="A18" s="2">
        <v>44960.0</v>
      </c>
      <c r="B18" s="1" t="s">
        <v>15</v>
      </c>
      <c r="C18" s="1" t="s">
        <v>16</v>
      </c>
      <c r="D18" s="1" t="s">
        <v>17</v>
      </c>
      <c r="E18" s="3">
        <v>-65.0</v>
      </c>
      <c r="F18" s="1">
        <f>F17+E18</f>
        <v>5273.01</v>
      </c>
    </row>
    <row r="19">
      <c r="A19" s="2">
        <v>44962.0</v>
      </c>
      <c r="B19" s="1" t="s">
        <v>18</v>
      </c>
      <c r="C19" s="1" t="s">
        <v>19</v>
      </c>
      <c r="D19" s="1" t="s">
        <v>20</v>
      </c>
      <c r="E19" s="3">
        <v>-47.89</v>
      </c>
      <c r="F19" s="1">
        <f>F18+E19</f>
        <v>5225.12</v>
      </c>
      <c r="G19" s="1" t="s">
        <v>41</v>
      </c>
    </row>
    <row r="20">
      <c r="A20" s="2">
        <v>44965.0</v>
      </c>
      <c r="B20" s="1" t="s">
        <v>22</v>
      </c>
      <c r="C20" s="1" t="s">
        <v>23</v>
      </c>
      <c r="D20" s="1" t="s">
        <v>24</v>
      </c>
      <c r="E20" s="3">
        <v>-200.0</v>
      </c>
      <c r="F20" s="1">
        <f>F19+E20</f>
        <v>5025.12</v>
      </c>
    </row>
    <row r="21">
      <c r="A21" s="2">
        <v>44969.0</v>
      </c>
      <c r="B21" s="1" t="s">
        <v>25</v>
      </c>
      <c r="C21" s="1" t="s">
        <v>26</v>
      </c>
      <c r="D21" s="1" t="s">
        <v>27</v>
      </c>
      <c r="E21" s="3">
        <v>-59.86</v>
      </c>
      <c r="F21" s="1">
        <f>F20+E21</f>
        <v>4965.26</v>
      </c>
      <c r="G21" s="1" t="s">
        <v>42</v>
      </c>
    </row>
    <row r="22">
      <c r="A22" s="2">
        <v>44972.0</v>
      </c>
      <c r="B22" s="1" t="s">
        <v>29</v>
      </c>
      <c r="C22" s="1" t="s">
        <v>30</v>
      </c>
      <c r="D22" s="1" t="s">
        <v>31</v>
      </c>
      <c r="E22" s="3">
        <v>-41.0</v>
      </c>
      <c r="F22" s="1">
        <f>F21+E22</f>
        <v>4924.26</v>
      </c>
    </row>
    <row r="23">
      <c r="A23" s="2">
        <v>44977.0</v>
      </c>
      <c r="B23" s="1" t="s">
        <v>32</v>
      </c>
      <c r="C23" s="1" t="s">
        <v>33</v>
      </c>
      <c r="D23" s="1" t="s">
        <v>34</v>
      </c>
      <c r="E23" s="3">
        <v>-8.9</v>
      </c>
      <c r="F23" s="1">
        <f>F22+E23</f>
        <v>4915.36</v>
      </c>
    </row>
    <row r="24">
      <c r="A24" s="2">
        <v>44982.0</v>
      </c>
      <c r="B24" s="1" t="s">
        <v>35</v>
      </c>
      <c r="C24" s="1" t="s">
        <v>36</v>
      </c>
      <c r="D24" s="1" t="s">
        <v>37</v>
      </c>
      <c r="E24" s="3">
        <v>-19.99</v>
      </c>
      <c r="F24" s="1">
        <f>F23+E24</f>
        <v>4895.37</v>
      </c>
    </row>
    <row r="25">
      <c r="A25" s="1" t="s">
        <v>43</v>
      </c>
      <c r="E25" s="1">
        <f>SUM(E16:E24)</f>
        <v>1827.36</v>
      </c>
    </row>
    <row r="27">
      <c r="A27" s="2">
        <v>44986.0</v>
      </c>
      <c r="B27" s="1" t="s">
        <v>9</v>
      </c>
      <c r="C27" s="1" t="s">
        <v>44</v>
      </c>
      <c r="D27" s="1" t="s">
        <v>11</v>
      </c>
      <c r="E27" s="3">
        <v>3250.0</v>
      </c>
      <c r="F27" s="1">
        <f>F24+E27</f>
        <v>8145.37</v>
      </c>
    </row>
    <row r="28">
      <c r="A28" s="2">
        <v>44986.0</v>
      </c>
      <c r="B28" s="1" t="s">
        <v>12</v>
      </c>
      <c r="C28" s="1" t="s">
        <v>45</v>
      </c>
      <c r="D28" s="1" t="s">
        <v>14</v>
      </c>
      <c r="E28" s="3">
        <v>-980.0</v>
      </c>
      <c r="F28" s="1">
        <f>F27+E28</f>
        <v>7165.37</v>
      </c>
    </row>
    <row r="29">
      <c r="A29" s="2">
        <v>44988.0</v>
      </c>
      <c r="B29" s="1" t="s">
        <v>15</v>
      </c>
      <c r="C29" s="1" t="s">
        <v>16</v>
      </c>
      <c r="D29" s="1" t="s">
        <v>17</v>
      </c>
      <c r="E29" s="3">
        <v>-65.0</v>
      </c>
      <c r="F29" s="1">
        <f>F28+E29</f>
        <v>7100.37</v>
      </c>
    </row>
    <row r="30">
      <c r="A30" s="2">
        <v>44990.0</v>
      </c>
      <c r="B30" s="1" t="s">
        <v>18</v>
      </c>
      <c r="C30" s="1" t="s">
        <v>19</v>
      </c>
      <c r="D30" s="1" t="s">
        <v>20</v>
      </c>
      <c r="E30" s="3">
        <v>-49.0</v>
      </c>
      <c r="F30" s="1">
        <f>F29+E30</f>
        <v>7051.37</v>
      </c>
      <c r="G30" s="1" t="s">
        <v>46</v>
      </c>
    </row>
    <row r="31">
      <c r="A31" s="2">
        <v>44993.0</v>
      </c>
      <c r="B31" s="1" t="s">
        <v>22</v>
      </c>
      <c r="C31" s="1" t="s">
        <v>23</v>
      </c>
      <c r="D31" s="1" t="s">
        <v>24</v>
      </c>
      <c r="E31" s="3">
        <v>-200.0</v>
      </c>
      <c r="F31" s="1">
        <f>F30+E31</f>
        <v>6851.37</v>
      </c>
    </row>
    <row r="32">
      <c r="A32" s="2">
        <v>44997.0</v>
      </c>
      <c r="B32" s="1" t="s">
        <v>25</v>
      </c>
      <c r="C32" s="1" t="s">
        <v>26</v>
      </c>
      <c r="D32" s="1" t="s">
        <v>27</v>
      </c>
      <c r="E32" s="3">
        <v>-60.59</v>
      </c>
      <c r="F32" s="1">
        <f>F31+E32</f>
        <v>6790.78</v>
      </c>
      <c r="G32" s="1" t="s">
        <v>47</v>
      </c>
    </row>
    <row r="33">
      <c r="A33" s="2">
        <v>45000.0</v>
      </c>
      <c r="B33" s="1" t="s">
        <v>29</v>
      </c>
      <c r="C33" s="1" t="s">
        <v>30</v>
      </c>
      <c r="D33" s="1" t="s">
        <v>31</v>
      </c>
      <c r="E33" s="3">
        <v>-32.5</v>
      </c>
      <c r="F33" s="1">
        <f>F32+E33</f>
        <v>6758.28</v>
      </c>
    </row>
    <row r="34">
      <c r="A34" s="2">
        <v>45005.0</v>
      </c>
      <c r="B34" s="1" t="s">
        <v>32</v>
      </c>
      <c r="C34" s="1" t="s">
        <v>33</v>
      </c>
      <c r="D34" s="1" t="s">
        <v>34</v>
      </c>
      <c r="E34" s="3">
        <v>-8.9</v>
      </c>
      <c r="F34" s="1">
        <f>F33+E34</f>
        <v>6749.38</v>
      </c>
    </row>
    <row r="35">
      <c r="A35" s="2">
        <v>45010.0</v>
      </c>
      <c r="B35" s="1" t="s">
        <v>35</v>
      </c>
      <c r="C35" s="1" t="s">
        <v>36</v>
      </c>
      <c r="D35" s="1" t="s">
        <v>37</v>
      </c>
      <c r="E35" s="3">
        <v>-19.99</v>
      </c>
      <c r="F35" s="1">
        <f>F34+E35</f>
        <v>6729.39</v>
      </c>
    </row>
    <row r="36">
      <c r="A36" s="1" t="s">
        <v>48</v>
      </c>
      <c r="E36" s="1">
        <f>SUM(E27:E35)</f>
        <v>1834.02</v>
      </c>
    </row>
    <row r="38">
      <c r="A38" s="2">
        <v>45017.0</v>
      </c>
      <c r="B38" s="1" t="s">
        <v>9</v>
      </c>
      <c r="C38" s="1" t="s">
        <v>49</v>
      </c>
      <c r="D38" s="1" t="s">
        <v>11</v>
      </c>
      <c r="E38" s="3">
        <v>3250.0</v>
      </c>
      <c r="F38" s="1">
        <f>F35+E38</f>
        <v>9979.39</v>
      </c>
    </row>
    <row r="39">
      <c r="A39" s="2">
        <v>45017.0</v>
      </c>
      <c r="B39" s="1" t="s">
        <v>12</v>
      </c>
      <c r="C39" s="1" t="s">
        <v>50</v>
      </c>
      <c r="D39" s="1" t="s">
        <v>14</v>
      </c>
      <c r="E39" s="3">
        <v>-980.0</v>
      </c>
      <c r="F39" s="1">
        <f>F38+E39</f>
        <v>8999.39</v>
      </c>
    </row>
    <row r="40">
      <c r="A40" s="2">
        <v>45019.0</v>
      </c>
      <c r="B40" s="1" t="s">
        <v>15</v>
      </c>
      <c r="C40" s="1" t="s">
        <v>16</v>
      </c>
      <c r="D40" s="1" t="s">
        <v>17</v>
      </c>
      <c r="E40" s="3">
        <v>-65.0</v>
      </c>
      <c r="F40" s="1">
        <f>F39+E40</f>
        <v>8934.39</v>
      </c>
    </row>
    <row r="41">
      <c r="A41" s="2">
        <v>45021.0</v>
      </c>
      <c r="B41" s="1" t="s">
        <v>18</v>
      </c>
      <c r="C41" s="1" t="s">
        <v>19</v>
      </c>
      <c r="D41" s="1" t="s">
        <v>20</v>
      </c>
      <c r="E41" s="3">
        <v>-50.11</v>
      </c>
      <c r="F41" s="1">
        <f>F40+E41</f>
        <v>8884.28</v>
      </c>
      <c r="G41" s="1" t="s">
        <v>51</v>
      </c>
    </row>
    <row r="42">
      <c r="A42" s="2">
        <v>45024.0</v>
      </c>
      <c r="B42" s="1" t="s">
        <v>22</v>
      </c>
      <c r="C42" s="1" t="s">
        <v>23</v>
      </c>
      <c r="D42" s="1" t="s">
        <v>24</v>
      </c>
      <c r="E42" s="3">
        <v>-200.0</v>
      </c>
      <c r="F42" s="1">
        <f>F41+E42</f>
        <v>8684.28</v>
      </c>
    </row>
    <row r="43">
      <c r="A43" s="2">
        <v>45028.0</v>
      </c>
      <c r="B43" s="1" t="s">
        <v>25</v>
      </c>
      <c r="C43" s="1" t="s">
        <v>26</v>
      </c>
      <c r="D43" s="1" t="s">
        <v>27</v>
      </c>
      <c r="E43" s="3">
        <v>-61.32</v>
      </c>
      <c r="F43" s="1">
        <f>F42+E43</f>
        <v>8622.96</v>
      </c>
      <c r="G43" s="1" t="s">
        <v>52</v>
      </c>
    </row>
    <row r="44">
      <c r="A44" s="2">
        <v>45031.0</v>
      </c>
      <c r="B44" s="1" t="s">
        <v>29</v>
      </c>
      <c r="C44" s="1" t="s">
        <v>30</v>
      </c>
      <c r="D44" s="1" t="s">
        <v>31</v>
      </c>
      <c r="E44" s="3">
        <v>-36.75</v>
      </c>
      <c r="F44" s="1">
        <f>F43+E44</f>
        <v>8586.21</v>
      </c>
    </row>
    <row r="45">
      <c r="A45" s="2">
        <v>45036.0</v>
      </c>
      <c r="B45" s="1" t="s">
        <v>32</v>
      </c>
      <c r="C45" s="1" t="s">
        <v>33</v>
      </c>
      <c r="D45" s="1" t="s">
        <v>34</v>
      </c>
      <c r="E45" s="3">
        <v>-8.9</v>
      </c>
      <c r="F45" s="1">
        <f>F44+E45</f>
        <v>8577.31</v>
      </c>
    </row>
    <row r="46">
      <c r="A46" s="2">
        <v>45041.0</v>
      </c>
      <c r="B46" s="1" t="s">
        <v>35</v>
      </c>
      <c r="C46" s="1" t="s">
        <v>36</v>
      </c>
      <c r="D46" s="1" t="s">
        <v>37</v>
      </c>
      <c r="E46" s="3">
        <v>-19.99</v>
      </c>
      <c r="F46" s="1">
        <f>F45+E46</f>
        <v>8557.32</v>
      </c>
    </row>
    <row r="47">
      <c r="A47" s="1" t="s">
        <v>53</v>
      </c>
      <c r="E47" s="1">
        <f>SUM(E38:E46)</f>
        <v>1827.93</v>
      </c>
    </row>
    <row r="49">
      <c r="A49" s="2">
        <v>45047.0</v>
      </c>
      <c r="B49" s="1" t="s">
        <v>9</v>
      </c>
      <c r="C49" s="1" t="s">
        <v>54</v>
      </c>
      <c r="D49" s="1" t="s">
        <v>11</v>
      </c>
      <c r="E49" s="3">
        <v>3250.0</v>
      </c>
      <c r="F49" s="1">
        <f>F46+E49</f>
        <v>11807.32</v>
      </c>
    </row>
    <row r="50">
      <c r="A50" s="2">
        <v>45047.0</v>
      </c>
      <c r="B50" s="1" t="s">
        <v>12</v>
      </c>
      <c r="C50" s="1" t="s">
        <v>55</v>
      </c>
      <c r="D50" s="1" t="s">
        <v>14</v>
      </c>
      <c r="E50" s="3">
        <v>-980.0</v>
      </c>
      <c r="F50" s="1">
        <f>F49+E50</f>
        <v>10827.32</v>
      </c>
    </row>
    <row r="51">
      <c r="A51" s="2">
        <v>45049.0</v>
      </c>
      <c r="B51" s="1" t="s">
        <v>15</v>
      </c>
      <c r="C51" s="1" t="s">
        <v>16</v>
      </c>
      <c r="D51" s="1" t="s">
        <v>17</v>
      </c>
      <c r="E51" s="3">
        <v>-65.0</v>
      </c>
      <c r="F51" s="1">
        <f>F50+E51</f>
        <v>10762.32</v>
      </c>
    </row>
    <row r="52">
      <c r="A52" s="2">
        <v>45051.0</v>
      </c>
      <c r="B52" s="1" t="s">
        <v>18</v>
      </c>
      <c r="C52" s="1" t="s">
        <v>19</v>
      </c>
      <c r="D52" s="1" t="s">
        <v>20</v>
      </c>
      <c r="E52" s="3">
        <v>-51.22</v>
      </c>
      <c r="F52" s="1">
        <f>F51+E52</f>
        <v>10711.1</v>
      </c>
      <c r="G52" s="1" t="s">
        <v>56</v>
      </c>
    </row>
    <row r="53">
      <c r="A53" s="2">
        <v>45054.0</v>
      </c>
      <c r="B53" s="1" t="s">
        <v>22</v>
      </c>
      <c r="C53" s="1" t="s">
        <v>23</v>
      </c>
      <c r="D53" s="1" t="s">
        <v>24</v>
      </c>
      <c r="E53" s="3">
        <v>-200.0</v>
      </c>
      <c r="F53" s="1">
        <f>F52+E53</f>
        <v>10511.1</v>
      </c>
    </row>
    <row r="54">
      <c r="A54" s="2">
        <v>45058.0</v>
      </c>
      <c r="B54" s="1" t="s">
        <v>25</v>
      </c>
      <c r="C54" s="1" t="s">
        <v>26</v>
      </c>
      <c r="D54" s="1" t="s">
        <v>27</v>
      </c>
      <c r="E54" s="3">
        <v>-62.05</v>
      </c>
      <c r="F54" s="1">
        <f>F53+E54</f>
        <v>10449.05</v>
      </c>
      <c r="G54" s="1" t="s">
        <v>57</v>
      </c>
    </row>
    <row r="55">
      <c r="A55" s="2">
        <v>45061.0</v>
      </c>
      <c r="B55" s="1" t="s">
        <v>29</v>
      </c>
      <c r="C55" s="1" t="s">
        <v>30</v>
      </c>
      <c r="D55" s="1" t="s">
        <v>31</v>
      </c>
      <c r="E55" s="3">
        <v>-41.0</v>
      </c>
      <c r="F55" s="1">
        <f>F54+E55</f>
        <v>10408.05</v>
      </c>
    </row>
    <row r="56">
      <c r="A56" s="2">
        <v>45066.0</v>
      </c>
      <c r="B56" s="1" t="s">
        <v>32</v>
      </c>
      <c r="C56" s="1" t="s">
        <v>33</v>
      </c>
      <c r="D56" s="1" t="s">
        <v>34</v>
      </c>
      <c r="E56" s="3">
        <v>-8.9</v>
      </c>
      <c r="F56" s="1">
        <f>F55+E56</f>
        <v>10399.15</v>
      </c>
    </row>
    <row r="57">
      <c r="A57" s="2">
        <v>45071.0</v>
      </c>
      <c r="B57" s="1" t="s">
        <v>35</v>
      </c>
      <c r="C57" s="1" t="s">
        <v>36</v>
      </c>
      <c r="D57" s="1" t="s">
        <v>37</v>
      </c>
      <c r="E57" s="3">
        <v>-19.99</v>
      </c>
      <c r="F57" s="1">
        <f>F56+E57</f>
        <v>10379.16</v>
      </c>
    </row>
    <row r="58">
      <c r="A58" s="1" t="s">
        <v>58</v>
      </c>
      <c r="E58" s="1">
        <f>SUM(E49:E57)</f>
        <v>1821.84</v>
      </c>
    </row>
    <row r="60">
      <c r="A60" s="2">
        <v>45078.0</v>
      </c>
      <c r="B60" s="1" t="s">
        <v>9</v>
      </c>
      <c r="C60" s="1" t="s">
        <v>59</v>
      </c>
      <c r="D60" s="1" t="s">
        <v>11</v>
      </c>
      <c r="E60" s="3">
        <v>3250.0</v>
      </c>
      <c r="F60" s="1">
        <f>F57+E60</f>
        <v>13629.16</v>
      </c>
    </row>
    <row r="61">
      <c r="A61" s="2">
        <v>45078.0</v>
      </c>
      <c r="B61" s="1" t="s">
        <v>12</v>
      </c>
      <c r="C61" s="1" t="s">
        <v>60</v>
      </c>
      <c r="D61" s="1" t="s">
        <v>14</v>
      </c>
      <c r="E61" s="3">
        <v>-980.0</v>
      </c>
      <c r="F61" s="1">
        <f>F60+E61</f>
        <v>12649.16</v>
      </c>
    </row>
    <row r="62">
      <c r="A62" s="2">
        <v>45080.0</v>
      </c>
      <c r="B62" s="1" t="s">
        <v>15</v>
      </c>
      <c r="C62" s="1" t="s">
        <v>16</v>
      </c>
      <c r="D62" s="1" t="s">
        <v>17</v>
      </c>
      <c r="E62" s="3">
        <v>-65.0</v>
      </c>
      <c r="F62" s="1">
        <f>F61+E62</f>
        <v>12584.16</v>
      </c>
    </row>
    <row r="63">
      <c r="A63" s="2">
        <v>45082.0</v>
      </c>
      <c r="B63" s="1" t="s">
        <v>18</v>
      </c>
      <c r="C63" s="1" t="s">
        <v>19</v>
      </c>
      <c r="D63" s="1" t="s">
        <v>20</v>
      </c>
      <c r="E63" s="3">
        <v>-52.33</v>
      </c>
      <c r="F63" s="1">
        <f>F62+E63</f>
        <v>12531.83</v>
      </c>
      <c r="G63" s="1" t="s">
        <v>61</v>
      </c>
    </row>
    <row r="64">
      <c r="A64" s="2">
        <v>45085.0</v>
      </c>
      <c r="B64" s="1" t="s">
        <v>22</v>
      </c>
      <c r="C64" s="1" t="s">
        <v>23</v>
      </c>
      <c r="D64" s="1" t="s">
        <v>24</v>
      </c>
      <c r="E64" s="3">
        <v>-200.0</v>
      </c>
      <c r="F64" s="1">
        <f>F63+E64</f>
        <v>12331.83</v>
      </c>
    </row>
    <row r="65">
      <c r="A65" s="2">
        <v>45089.0</v>
      </c>
      <c r="B65" s="1" t="s">
        <v>25</v>
      </c>
      <c r="C65" s="1" t="s">
        <v>26</v>
      </c>
      <c r="D65" s="1" t="s">
        <v>27</v>
      </c>
      <c r="E65" s="3">
        <v>-62.78</v>
      </c>
      <c r="F65" s="1">
        <f>F64+E65</f>
        <v>12269.05</v>
      </c>
      <c r="G65" s="1" t="s">
        <v>62</v>
      </c>
    </row>
    <row r="66">
      <c r="A66" s="2">
        <v>45092.0</v>
      </c>
      <c r="B66" s="1" t="s">
        <v>29</v>
      </c>
      <c r="C66" s="1" t="s">
        <v>30</v>
      </c>
      <c r="D66" s="1" t="s">
        <v>31</v>
      </c>
      <c r="E66" s="3">
        <v>-32.5</v>
      </c>
      <c r="F66" s="1">
        <f>F65+E66</f>
        <v>12236.55</v>
      </c>
    </row>
    <row r="67">
      <c r="A67" s="2">
        <v>45097.0</v>
      </c>
      <c r="B67" s="1" t="s">
        <v>32</v>
      </c>
      <c r="C67" s="1" t="s">
        <v>33</v>
      </c>
      <c r="D67" s="1" t="s">
        <v>34</v>
      </c>
      <c r="E67" s="3">
        <v>-8.9</v>
      </c>
      <c r="F67" s="1">
        <f>F66+E67</f>
        <v>12227.65</v>
      </c>
    </row>
    <row r="68">
      <c r="A68" s="2">
        <v>45102.0</v>
      </c>
      <c r="B68" s="1" t="s">
        <v>35</v>
      </c>
      <c r="C68" s="1" t="s">
        <v>36</v>
      </c>
      <c r="D68" s="1" t="s">
        <v>37</v>
      </c>
      <c r="E68" s="3">
        <v>-19.99</v>
      </c>
      <c r="F68" s="1">
        <f>F67+E68</f>
        <v>12207.66</v>
      </c>
    </row>
    <row r="69">
      <c r="A69" s="1" t="s">
        <v>63</v>
      </c>
      <c r="E69" s="1">
        <f>SUM(E60:E68)</f>
        <v>1828.5</v>
      </c>
    </row>
    <row r="71">
      <c r="A71" s="2">
        <v>45108.0</v>
      </c>
      <c r="B71" s="1" t="s">
        <v>9</v>
      </c>
      <c r="C71" s="1" t="s">
        <v>64</v>
      </c>
      <c r="D71" s="1" t="s">
        <v>11</v>
      </c>
      <c r="E71" s="3">
        <v>3250.0</v>
      </c>
      <c r="F71" s="1">
        <f>F68+E71</f>
        <v>15457.66</v>
      </c>
    </row>
    <row r="72">
      <c r="A72" s="2">
        <v>45108.0</v>
      </c>
      <c r="B72" s="1" t="s">
        <v>12</v>
      </c>
      <c r="C72" s="1" t="s">
        <v>65</v>
      </c>
      <c r="D72" s="1" t="s">
        <v>14</v>
      </c>
      <c r="E72" s="3">
        <v>-980.0</v>
      </c>
      <c r="F72" s="1">
        <f>F71+E72</f>
        <v>14477.66</v>
      </c>
    </row>
    <row r="73">
      <c r="A73" s="2">
        <v>45110.0</v>
      </c>
      <c r="B73" s="1" t="s">
        <v>15</v>
      </c>
      <c r="C73" s="1" t="s">
        <v>16</v>
      </c>
      <c r="D73" s="1" t="s">
        <v>17</v>
      </c>
      <c r="E73" s="3">
        <v>-65.0</v>
      </c>
      <c r="F73" s="1">
        <f>F72+E73</f>
        <v>14412.66</v>
      </c>
    </row>
    <row r="74">
      <c r="A74" s="2">
        <v>45112.0</v>
      </c>
      <c r="B74" s="1" t="s">
        <v>18</v>
      </c>
      <c r="C74" s="1" t="s">
        <v>19</v>
      </c>
      <c r="D74" s="1" t="s">
        <v>20</v>
      </c>
      <c r="E74" s="3">
        <v>-53.44</v>
      </c>
      <c r="F74" s="1">
        <f>F73+E74</f>
        <v>14359.22</v>
      </c>
      <c r="G74" s="1" t="s">
        <v>66</v>
      </c>
    </row>
    <row r="75">
      <c r="A75" s="2">
        <v>45115.0</v>
      </c>
      <c r="B75" s="1" t="s">
        <v>22</v>
      </c>
      <c r="C75" s="1" t="s">
        <v>23</v>
      </c>
      <c r="D75" s="1" t="s">
        <v>24</v>
      </c>
      <c r="E75" s="3">
        <v>-200.0</v>
      </c>
      <c r="F75" s="1">
        <f>F74+E75</f>
        <v>14159.22</v>
      </c>
    </row>
    <row r="76">
      <c r="A76" s="2">
        <v>45119.0</v>
      </c>
      <c r="B76" s="1" t="s">
        <v>25</v>
      </c>
      <c r="C76" s="1" t="s">
        <v>26</v>
      </c>
      <c r="D76" s="1" t="s">
        <v>27</v>
      </c>
      <c r="E76" s="3">
        <v>-63.51</v>
      </c>
      <c r="F76" s="1">
        <f>F75+E76</f>
        <v>14095.71</v>
      </c>
      <c r="G76" s="1" t="s">
        <v>67</v>
      </c>
    </row>
    <row r="77">
      <c r="A77" s="2">
        <v>45122.0</v>
      </c>
      <c r="B77" s="1" t="s">
        <v>29</v>
      </c>
      <c r="C77" s="1" t="s">
        <v>30</v>
      </c>
      <c r="D77" s="1" t="s">
        <v>31</v>
      </c>
      <c r="E77" s="3">
        <v>-36.75</v>
      </c>
      <c r="F77" s="1">
        <f>F76+E77</f>
        <v>14058.96</v>
      </c>
    </row>
    <row r="78">
      <c r="A78" s="2">
        <v>45127.0</v>
      </c>
      <c r="B78" s="1" t="s">
        <v>32</v>
      </c>
      <c r="C78" s="1" t="s">
        <v>33</v>
      </c>
      <c r="D78" s="1" t="s">
        <v>34</v>
      </c>
      <c r="E78" s="3">
        <v>-8.9</v>
      </c>
      <c r="F78" s="1">
        <f>F77+E78</f>
        <v>14050.06</v>
      </c>
    </row>
    <row r="79">
      <c r="A79" s="2">
        <v>45132.0</v>
      </c>
      <c r="B79" s="1" t="s">
        <v>35</v>
      </c>
      <c r="C79" s="1" t="s">
        <v>36</v>
      </c>
      <c r="D79" s="1" t="s">
        <v>37</v>
      </c>
      <c r="E79" s="3">
        <v>-19.99</v>
      </c>
      <c r="F79" s="1">
        <f>F78+E79</f>
        <v>14030.07</v>
      </c>
    </row>
    <row r="80">
      <c r="A80" s="1" t="s">
        <v>68</v>
      </c>
      <c r="E80" s="1">
        <f>SUM(E71:E79)</f>
        <v>1822.41</v>
      </c>
    </row>
    <row r="82">
      <c r="A82" s="2">
        <v>45139.0</v>
      </c>
      <c r="B82" s="1" t="s">
        <v>9</v>
      </c>
      <c r="C82" s="1" t="s">
        <v>69</v>
      </c>
      <c r="D82" s="1" t="s">
        <v>11</v>
      </c>
      <c r="E82" s="3">
        <v>3250.0</v>
      </c>
      <c r="F82" s="1">
        <f>F79+E82</f>
        <v>17280.07</v>
      </c>
    </row>
    <row r="83">
      <c r="A83" s="2">
        <v>45139.0</v>
      </c>
      <c r="B83" s="1" t="s">
        <v>12</v>
      </c>
      <c r="C83" s="1" t="s">
        <v>70</v>
      </c>
      <c r="D83" s="1" t="s">
        <v>14</v>
      </c>
      <c r="E83" s="3">
        <v>-980.0</v>
      </c>
      <c r="F83" s="1">
        <f>F82+E83</f>
        <v>16300.07</v>
      </c>
    </row>
    <row r="84">
      <c r="A84" s="2">
        <v>45141.0</v>
      </c>
      <c r="B84" s="1" t="s">
        <v>15</v>
      </c>
      <c r="C84" s="1" t="s">
        <v>16</v>
      </c>
      <c r="D84" s="1" t="s">
        <v>17</v>
      </c>
      <c r="E84" s="3">
        <v>-65.0</v>
      </c>
      <c r="F84" s="1">
        <f>F83+E84</f>
        <v>16235.07</v>
      </c>
    </row>
    <row r="85">
      <c r="A85" s="2">
        <v>45143.0</v>
      </c>
      <c r="B85" s="1" t="s">
        <v>18</v>
      </c>
      <c r="C85" s="1" t="s">
        <v>19</v>
      </c>
      <c r="D85" s="1" t="s">
        <v>20</v>
      </c>
      <c r="E85" s="3">
        <v>-54.55</v>
      </c>
      <c r="F85" s="1">
        <f>F84+E85</f>
        <v>16180.52</v>
      </c>
      <c r="G85" s="1" t="s">
        <v>71</v>
      </c>
    </row>
    <row r="86">
      <c r="A86" s="2">
        <v>45146.0</v>
      </c>
      <c r="B86" s="1" t="s">
        <v>22</v>
      </c>
      <c r="C86" s="1" t="s">
        <v>23</v>
      </c>
      <c r="D86" s="1" t="s">
        <v>24</v>
      </c>
      <c r="E86" s="3">
        <v>-200.0</v>
      </c>
      <c r="F86" s="1">
        <f>F85+E86</f>
        <v>15980.52</v>
      </c>
    </row>
    <row r="87">
      <c r="A87" s="2">
        <v>45150.0</v>
      </c>
      <c r="B87" s="1" t="s">
        <v>25</v>
      </c>
      <c r="C87" s="1" t="s">
        <v>26</v>
      </c>
      <c r="D87" s="1" t="s">
        <v>27</v>
      </c>
      <c r="E87" s="3">
        <v>-64.24</v>
      </c>
      <c r="F87" s="1">
        <f>F86+E87</f>
        <v>15916.28</v>
      </c>
      <c r="G87" s="1" t="s">
        <v>72</v>
      </c>
    </row>
    <row r="88">
      <c r="A88" s="2">
        <v>45153.0</v>
      </c>
      <c r="B88" s="1" t="s">
        <v>29</v>
      </c>
      <c r="C88" s="1" t="s">
        <v>30</v>
      </c>
      <c r="D88" s="1" t="s">
        <v>31</v>
      </c>
      <c r="E88" s="3">
        <v>-41.0</v>
      </c>
      <c r="F88" s="1">
        <f>F87+E88</f>
        <v>15875.28</v>
      </c>
    </row>
    <row r="89">
      <c r="A89" s="2">
        <v>45155.0</v>
      </c>
      <c r="B89" s="1" t="s">
        <v>73</v>
      </c>
      <c r="C89" s="1" t="s">
        <v>74</v>
      </c>
      <c r="D89" s="1" t="s">
        <v>75</v>
      </c>
      <c r="E89" s="3">
        <v>-1249.0</v>
      </c>
      <c r="F89" s="1">
        <f>F88+E89</f>
        <v>14626.28</v>
      </c>
    </row>
    <row r="90">
      <c r="A90" s="2">
        <v>45158.0</v>
      </c>
      <c r="B90" s="1" t="s">
        <v>32</v>
      </c>
      <c r="C90" s="1" t="s">
        <v>33</v>
      </c>
      <c r="D90" s="1" t="s">
        <v>34</v>
      </c>
      <c r="E90" s="3">
        <v>-8.9</v>
      </c>
      <c r="F90" s="1">
        <f>F89+E90</f>
        <v>14617.38</v>
      </c>
    </row>
    <row r="91">
      <c r="A91" s="2">
        <v>45163.0</v>
      </c>
      <c r="B91" s="1" t="s">
        <v>35</v>
      </c>
      <c r="C91" s="1" t="s">
        <v>36</v>
      </c>
      <c r="D91" s="1" t="s">
        <v>37</v>
      </c>
      <c r="E91" s="3">
        <v>-19.99</v>
      </c>
      <c r="F91" s="1">
        <f>F90+E91</f>
        <v>14597.39</v>
      </c>
    </row>
    <row r="92">
      <c r="A92" s="1" t="s">
        <v>76</v>
      </c>
      <c r="E92" s="1">
        <f>SUM(E82:E91)</f>
        <v>567.32</v>
      </c>
    </row>
    <row r="94">
      <c r="A94" s="2">
        <v>45170.0</v>
      </c>
      <c r="B94" s="1" t="s">
        <v>9</v>
      </c>
      <c r="C94" s="1" t="s">
        <v>77</v>
      </c>
      <c r="D94" s="1" t="s">
        <v>11</v>
      </c>
      <c r="E94" s="3">
        <v>3250.0</v>
      </c>
      <c r="F94" s="1">
        <f>F91+E94</f>
        <v>17847.39</v>
      </c>
    </row>
    <row r="95">
      <c r="A95" s="2">
        <v>45170.0</v>
      </c>
      <c r="B95" s="1" t="s">
        <v>12</v>
      </c>
      <c r="C95" s="1" t="s">
        <v>78</v>
      </c>
      <c r="D95" s="1" t="s">
        <v>14</v>
      </c>
      <c r="E95" s="3">
        <v>-980.0</v>
      </c>
      <c r="F95" s="1">
        <f>F94+E95</f>
        <v>16867.39</v>
      </c>
    </row>
    <row r="96">
      <c r="A96" s="2">
        <v>45172.0</v>
      </c>
      <c r="B96" s="1" t="s">
        <v>15</v>
      </c>
      <c r="C96" s="1" t="s">
        <v>16</v>
      </c>
      <c r="D96" s="1" t="s">
        <v>17</v>
      </c>
      <c r="E96" s="3">
        <v>-65.0</v>
      </c>
      <c r="F96" s="1">
        <f>F95+E96</f>
        <v>16802.39</v>
      </c>
    </row>
    <row r="97">
      <c r="A97" s="2">
        <v>45174.0</v>
      </c>
      <c r="B97" s="1" t="s">
        <v>18</v>
      </c>
      <c r="C97" s="1" t="s">
        <v>19</v>
      </c>
      <c r="D97" s="1" t="s">
        <v>20</v>
      </c>
      <c r="E97" s="3">
        <v>-55.66</v>
      </c>
      <c r="F97" s="1">
        <f>F96+E97</f>
        <v>16746.73</v>
      </c>
      <c r="G97" s="1" t="s">
        <v>79</v>
      </c>
    </row>
    <row r="98">
      <c r="A98" s="2">
        <v>45177.0</v>
      </c>
      <c r="B98" s="1" t="s">
        <v>22</v>
      </c>
      <c r="C98" s="1" t="s">
        <v>23</v>
      </c>
      <c r="D98" s="1" t="s">
        <v>24</v>
      </c>
      <c r="E98" s="3">
        <v>-200.0</v>
      </c>
      <c r="F98" s="1">
        <f>F97+E98</f>
        <v>16546.73</v>
      </c>
    </row>
    <row r="99">
      <c r="A99" s="2">
        <v>45181.0</v>
      </c>
      <c r="B99" s="1" t="s">
        <v>25</v>
      </c>
      <c r="C99" s="1" t="s">
        <v>26</v>
      </c>
      <c r="D99" s="1" t="s">
        <v>27</v>
      </c>
      <c r="E99" s="3">
        <v>-64.97</v>
      </c>
      <c r="F99" s="1">
        <f>F98+E99</f>
        <v>16481.76</v>
      </c>
      <c r="G99" s="1" t="s">
        <v>80</v>
      </c>
    </row>
    <row r="100">
      <c r="A100" s="2">
        <v>45184.0</v>
      </c>
      <c r="B100" s="1" t="s">
        <v>29</v>
      </c>
      <c r="C100" s="1" t="s">
        <v>30</v>
      </c>
      <c r="D100" s="1" t="s">
        <v>31</v>
      </c>
      <c r="E100" s="3">
        <v>-32.5</v>
      </c>
      <c r="F100" s="1">
        <f>F99+E100</f>
        <v>16449.26</v>
      </c>
    </row>
    <row r="101">
      <c r="A101" s="2">
        <v>45189.0</v>
      </c>
      <c r="B101" s="1" t="s">
        <v>32</v>
      </c>
      <c r="C101" s="1" t="s">
        <v>33</v>
      </c>
      <c r="D101" s="1" t="s">
        <v>34</v>
      </c>
      <c r="E101" s="3">
        <v>-8.9</v>
      </c>
      <c r="F101" s="1">
        <f>F100+E101</f>
        <v>16440.36</v>
      </c>
    </row>
    <row r="102">
      <c r="A102" s="2">
        <v>45194.0</v>
      </c>
      <c r="B102" s="1" t="s">
        <v>35</v>
      </c>
      <c r="C102" s="1" t="s">
        <v>36</v>
      </c>
      <c r="D102" s="1" t="s">
        <v>37</v>
      </c>
      <c r="E102" s="3">
        <v>-19.99</v>
      </c>
      <c r="F102" s="1">
        <f>F101+E102</f>
        <v>16420.37</v>
      </c>
    </row>
    <row r="103">
      <c r="A103" s="1" t="s">
        <v>81</v>
      </c>
      <c r="E103" s="1">
        <f>SUM(E94:E102)</f>
        <v>1822.98</v>
      </c>
    </row>
    <row r="105">
      <c r="A105" s="2">
        <v>45200.0</v>
      </c>
      <c r="B105" s="1" t="s">
        <v>9</v>
      </c>
      <c r="C105" s="1" t="s">
        <v>82</v>
      </c>
      <c r="D105" s="1" t="s">
        <v>11</v>
      </c>
      <c r="E105" s="3">
        <v>3250.0</v>
      </c>
      <c r="F105" s="1">
        <f>F102+E105</f>
        <v>19670.37</v>
      </c>
    </row>
    <row r="106">
      <c r="A106" s="2">
        <v>45200.0</v>
      </c>
      <c r="B106" s="1" t="s">
        <v>12</v>
      </c>
      <c r="C106" s="1" t="s">
        <v>83</v>
      </c>
      <c r="D106" s="1" t="s">
        <v>14</v>
      </c>
      <c r="E106" s="3">
        <v>-980.0</v>
      </c>
      <c r="F106" s="1">
        <f>F105+E106</f>
        <v>18690.37</v>
      </c>
    </row>
    <row r="107">
      <c r="A107" s="2">
        <v>45202.0</v>
      </c>
      <c r="B107" s="1" t="s">
        <v>15</v>
      </c>
      <c r="C107" s="1" t="s">
        <v>16</v>
      </c>
      <c r="D107" s="1" t="s">
        <v>17</v>
      </c>
      <c r="E107" s="3">
        <v>-65.0</v>
      </c>
      <c r="F107" s="1">
        <f>F106+E107</f>
        <v>18625.37</v>
      </c>
    </row>
    <row r="108">
      <c r="A108" s="2">
        <v>45204.0</v>
      </c>
      <c r="B108" s="1" t="s">
        <v>18</v>
      </c>
      <c r="C108" s="1" t="s">
        <v>19</v>
      </c>
      <c r="D108" s="1" t="s">
        <v>20</v>
      </c>
      <c r="E108" s="3">
        <v>-56.77</v>
      </c>
      <c r="F108" s="1">
        <f>F107+E108</f>
        <v>18568.6</v>
      </c>
      <c r="G108" s="1" t="s">
        <v>84</v>
      </c>
    </row>
    <row r="109">
      <c r="A109" s="2">
        <v>45207.0</v>
      </c>
      <c r="B109" s="1" t="s">
        <v>22</v>
      </c>
      <c r="C109" s="1" t="s">
        <v>23</v>
      </c>
      <c r="D109" s="1" t="s">
        <v>24</v>
      </c>
      <c r="E109" s="3">
        <v>-200.0</v>
      </c>
      <c r="F109" s="1">
        <f>F108+E109</f>
        <v>18368.6</v>
      </c>
    </row>
    <row r="110">
      <c r="A110" s="2">
        <v>45211.0</v>
      </c>
      <c r="B110" s="1" t="s">
        <v>25</v>
      </c>
      <c r="C110" s="1" t="s">
        <v>26</v>
      </c>
      <c r="D110" s="1" t="s">
        <v>27</v>
      </c>
      <c r="E110" s="3">
        <v>-65.7</v>
      </c>
      <c r="F110" s="1">
        <f>F109+E110</f>
        <v>18302.9</v>
      </c>
      <c r="G110" s="1" t="s">
        <v>85</v>
      </c>
    </row>
    <row r="111">
      <c r="A111" s="2">
        <v>45214.0</v>
      </c>
      <c r="B111" s="1" t="s">
        <v>29</v>
      </c>
      <c r="C111" s="1" t="s">
        <v>30</v>
      </c>
      <c r="D111" s="1" t="s">
        <v>31</v>
      </c>
      <c r="E111" s="3">
        <v>-36.75</v>
      </c>
      <c r="F111" s="1">
        <f>F110+E111</f>
        <v>18266.15</v>
      </c>
    </row>
    <row r="112">
      <c r="A112" s="2">
        <v>45219.0</v>
      </c>
      <c r="B112" s="1" t="s">
        <v>32</v>
      </c>
      <c r="C112" s="1" t="s">
        <v>33</v>
      </c>
      <c r="D112" s="1" t="s">
        <v>34</v>
      </c>
      <c r="E112" s="3">
        <v>-8.9</v>
      </c>
      <c r="F112" s="1">
        <f>F111+E112</f>
        <v>18257.25</v>
      </c>
    </row>
    <row r="113">
      <c r="A113" s="2">
        <v>45224.0</v>
      </c>
      <c r="B113" s="1" t="s">
        <v>35</v>
      </c>
      <c r="C113" s="1" t="s">
        <v>36</v>
      </c>
      <c r="D113" s="1" t="s">
        <v>37</v>
      </c>
      <c r="E113" s="3">
        <v>-19.99</v>
      </c>
      <c r="F113" s="1">
        <f>F112+E113</f>
        <v>18237.26</v>
      </c>
    </row>
    <row r="114">
      <c r="A114" s="1" t="s">
        <v>86</v>
      </c>
      <c r="E114" s="1">
        <f>SUM(E105:E113)</f>
        <v>1816.89</v>
      </c>
    </row>
    <row r="116">
      <c r="A116" s="2">
        <v>45231.0</v>
      </c>
      <c r="B116" s="1" t="s">
        <v>9</v>
      </c>
      <c r="C116" s="1" t="s">
        <v>87</v>
      </c>
      <c r="D116" s="1" t="s">
        <v>11</v>
      </c>
      <c r="E116" s="3">
        <v>3250.0</v>
      </c>
      <c r="F116" s="1">
        <f>F113+E116</f>
        <v>21487.26</v>
      </c>
    </row>
    <row r="117">
      <c r="A117" s="2">
        <v>45231.0</v>
      </c>
      <c r="B117" s="1" t="s">
        <v>12</v>
      </c>
      <c r="C117" s="1" t="s">
        <v>88</v>
      </c>
      <c r="D117" s="1" t="s">
        <v>14</v>
      </c>
      <c r="E117" s="3">
        <v>-980.0</v>
      </c>
      <c r="F117" s="1">
        <f>F116+E117</f>
        <v>20507.26</v>
      </c>
    </row>
    <row r="118">
      <c r="A118" s="2">
        <v>45233.0</v>
      </c>
      <c r="B118" s="1" t="s">
        <v>15</v>
      </c>
      <c r="C118" s="1" t="s">
        <v>16</v>
      </c>
      <c r="D118" s="1" t="s">
        <v>17</v>
      </c>
      <c r="E118" s="3">
        <v>-65.0</v>
      </c>
      <c r="F118" s="1">
        <f>F117+E118</f>
        <v>20442.26</v>
      </c>
    </row>
    <row r="119">
      <c r="A119" s="2">
        <v>45235.0</v>
      </c>
      <c r="B119" s="1" t="s">
        <v>18</v>
      </c>
      <c r="C119" s="1" t="s">
        <v>19</v>
      </c>
      <c r="D119" s="1" t="s">
        <v>20</v>
      </c>
      <c r="E119" s="3">
        <v>-57.88</v>
      </c>
      <c r="F119" s="1">
        <f>F118+E119</f>
        <v>20384.38</v>
      </c>
      <c r="G119" s="1" t="s">
        <v>89</v>
      </c>
    </row>
    <row r="120">
      <c r="A120" s="2">
        <v>45238.0</v>
      </c>
      <c r="B120" s="1" t="s">
        <v>22</v>
      </c>
      <c r="C120" s="1" t="s">
        <v>23</v>
      </c>
      <c r="D120" s="1" t="s">
        <v>24</v>
      </c>
      <c r="E120" s="3">
        <v>-200.0</v>
      </c>
      <c r="F120" s="1">
        <f>F119+E120</f>
        <v>20184.38</v>
      </c>
    </row>
    <row r="121">
      <c r="A121" s="2">
        <v>45242.0</v>
      </c>
      <c r="B121" s="1" t="s">
        <v>25</v>
      </c>
      <c r="C121" s="1" t="s">
        <v>26</v>
      </c>
      <c r="D121" s="1" t="s">
        <v>27</v>
      </c>
      <c r="E121" s="3">
        <v>-66.43</v>
      </c>
      <c r="F121" s="1">
        <f>F120+E121</f>
        <v>20117.95</v>
      </c>
      <c r="G121" s="1" t="s">
        <v>90</v>
      </c>
    </row>
    <row r="122">
      <c r="A122" s="2">
        <v>45245.0</v>
      </c>
      <c r="B122" s="1" t="s">
        <v>29</v>
      </c>
      <c r="C122" s="1" t="s">
        <v>30</v>
      </c>
      <c r="D122" s="1" t="s">
        <v>31</v>
      </c>
      <c r="E122" s="3">
        <v>-41.0</v>
      </c>
      <c r="F122" s="1">
        <f>F121+E122</f>
        <v>20076.95</v>
      </c>
    </row>
    <row r="123">
      <c r="A123" s="2">
        <v>45250.0</v>
      </c>
      <c r="B123" s="1" t="s">
        <v>32</v>
      </c>
      <c r="C123" s="1" t="s">
        <v>33</v>
      </c>
      <c r="D123" s="1" t="s">
        <v>34</v>
      </c>
      <c r="E123" s="3">
        <v>-8.9</v>
      </c>
      <c r="F123" s="1">
        <f>F122+E123</f>
        <v>20068.05</v>
      </c>
    </row>
    <row r="124">
      <c r="A124" s="2">
        <v>45255.0</v>
      </c>
      <c r="B124" s="1" t="s">
        <v>35</v>
      </c>
      <c r="C124" s="1" t="s">
        <v>36</v>
      </c>
      <c r="D124" s="1" t="s">
        <v>37</v>
      </c>
      <c r="E124" s="3">
        <v>-19.99</v>
      </c>
      <c r="F124" s="1">
        <f>F123+E124</f>
        <v>20048.06</v>
      </c>
    </row>
    <row r="125">
      <c r="A125" s="2">
        <v>45258.0</v>
      </c>
      <c r="B125" s="1" t="s">
        <v>9</v>
      </c>
      <c r="C125" s="1" t="s">
        <v>91</v>
      </c>
      <c r="D125" s="1" t="s">
        <v>11</v>
      </c>
      <c r="E125" s="3">
        <v>1500.0</v>
      </c>
      <c r="F125" s="1">
        <f>F124+E125</f>
        <v>21548.06</v>
      </c>
    </row>
    <row r="126">
      <c r="A126" s="1" t="s">
        <v>92</v>
      </c>
      <c r="E126" s="1">
        <f>SUM(E116:E125)</f>
        <v>3310.8</v>
      </c>
    </row>
    <row r="128">
      <c r="A128" s="2">
        <v>45261.0</v>
      </c>
      <c r="B128" s="1" t="s">
        <v>9</v>
      </c>
      <c r="C128" s="1" t="s">
        <v>93</v>
      </c>
      <c r="D128" s="1" t="s">
        <v>11</v>
      </c>
      <c r="E128" s="3">
        <v>3250.0</v>
      </c>
      <c r="F128" s="1">
        <f>F125+E128</f>
        <v>24798.06</v>
      </c>
    </row>
    <row r="129">
      <c r="A129" s="2">
        <v>45261.0</v>
      </c>
      <c r="B129" s="1" t="s">
        <v>12</v>
      </c>
      <c r="C129" s="1" t="s">
        <v>94</v>
      </c>
      <c r="D129" s="1" t="s">
        <v>14</v>
      </c>
      <c r="E129" s="3">
        <v>-980.0</v>
      </c>
      <c r="F129" s="1">
        <f>F128+E129</f>
        <v>23818.06</v>
      </c>
    </row>
    <row r="130">
      <c r="A130" s="2">
        <v>45263.0</v>
      </c>
      <c r="B130" s="1" t="s">
        <v>15</v>
      </c>
      <c r="C130" s="1" t="s">
        <v>16</v>
      </c>
      <c r="D130" s="1" t="s">
        <v>17</v>
      </c>
      <c r="E130" s="3">
        <v>-65.0</v>
      </c>
      <c r="F130" s="1">
        <f>F129+E130</f>
        <v>23753.06</v>
      </c>
    </row>
    <row r="131">
      <c r="A131" s="2">
        <v>45265.0</v>
      </c>
      <c r="B131" s="1" t="s">
        <v>18</v>
      </c>
      <c r="C131" s="1" t="s">
        <v>19</v>
      </c>
      <c r="D131" s="1" t="s">
        <v>20</v>
      </c>
      <c r="E131" s="3">
        <v>-58.99</v>
      </c>
      <c r="F131" s="1">
        <f>F130+E131</f>
        <v>23694.07</v>
      </c>
      <c r="G131" s="1" t="s">
        <v>95</v>
      </c>
    </row>
    <row r="132">
      <c r="A132" s="2">
        <v>45268.0</v>
      </c>
      <c r="B132" s="1" t="s">
        <v>22</v>
      </c>
      <c r="C132" s="1" t="s">
        <v>23</v>
      </c>
      <c r="D132" s="1" t="s">
        <v>24</v>
      </c>
      <c r="E132" s="3">
        <v>-200.0</v>
      </c>
      <c r="F132" s="1">
        <f>F131+E132</f>
        <v>23494.07</v>
      </c>
    </row>
    <row r="133">
      <c r="A133" s="2">
        <v>45272.0</v>
      </c>
      <c r="B133" s="1" t="s">
        <v>25</v>
      </c>
      <c r="C133" s="1" t="s">
        <v>26</v>
      </c>
      <c r="D133" s="1" t="s">
        <v>27</v>
      </c>
      <c r="E133" s="3">
        <v>-67.16</v>
      </c>
      <c r="F133" s="1">
        <f>F132+E133</f>
        <v>23426.91</v>
      </c>
      <c r="G133" s="1" t="s">
        <v>96</v>
      </c>
    </row>
    <row r="134">
      <c r="A134" s="2">
        <v>45275.0</v>
      </c>
      <c r="B134" s="1" t="s">
        <v>29</v>
      </c>
      <c r="C134" s="1" t="s">
        <v>30</v>
      </c>
      <c r="D134" s="1" t="s">
        <v>31</v>
      </c>
      <c r="E134" s="3">
        <v>-32.5</v>
      </c>
      <c r="F134" s="1">
        <f>F133+E134</f>
        <v>23394.41</v>
      </c>
    </row>
    <row r="135">
      <c r="A135" s="2">
        <v>45280.0</v>
      </c>
      <c r="B135" s="1" t="s">
        <v>32</v>
      </c>
      <c r="C135" s="1" t="s">
        <v>33</v>
      </c>
      <c r="D135" s="1" t="s">
        <v>34</v>
      </c>
      <c r="E135" s="3">
        <v>-8.9</v>
      </c>
      <c r="F135" s="1">
        <f>F134+E135</f>
        <v>23385.51</v>
      </c>
    </row>
    <row r="136">
      <c r="A136" s="2">
        <v>45285.0</v>
      </c>
      <c r="B136" s="1" t="s">
        <v>35</v>
      </c>
      <c r="C136" s="1" t="s">
        <v>36</v>
      </c>
      <c r="D136" s="1" t="s">
        <v>37</v>
      </c>
      <c r="E136" s="3">
        <v>-19.99</v>
      </c>
      <c r="F136" s="1">
        <f>F135+E136</f>
        <v>23365.52</v>
      </c>
    </row>
    <row r="137">
      <c r="A137" s="1" t="s">
        <v>97</v>
      </c>
      <c r="E137" s="1">
        <f>SUM(E128:E136)</f>
        <v>1817.46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2"/>
  <sheetViews>
    <sheetView workbookViewId="0"/>
  </sheetViews>
  <sheetData>
    <row r="1">
      <c r="A1" t="s">
        <v>98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>
      <c r="B5" s="1" t="s">
        <v>99</v>
      </c>
      <c r="F5" s="3">
        <v>23365.52</v>
      </c>
    </row>
    <row r="6">
      <c r="A6" s="2">
        <v>45292.0</v>
      </c>
      <c r="B6" s="1" t="s">
        <v>9</v>
      </c>
      <c r="C6" s="1" t="s">
        <v>10</v>
      </c>
      <c r="D6" s="1" t="s">
        <v>11</v>
      </c>
      <c r="E6" s="3">
        <v>3250.0</v>
      </c>
      <c r="F6" s="1">
        <f>F5+E6</f>
        <v>26615.52</v>
      </c>
    </row>
    <row r="7">
      <c r="A7" s="2">
        <v>45292.0</v>
      </c>
      <c r="B7" s="1" t="s">
        <v>12</v>
      </c>
      <c r="C7" s="1" t="s">
        <v>13</v>
      </c>
      <c r="D7" s="1" t="s">
        <v>14</v>
      </c>
      <c r="E7" s="3">
        <v>-980.0</v>
      </c>
      <c r="F7" s="1">
        <f>F6+E7</f>
        <v>25635.52</v>
      </c>
    </row>
    <row r="8">
      <c r="A8" s="2">
        <v>45294.0</v>
      </c>
      <c r="B8" s="1" t="s">
        <v>15</v>
      </c>
      <c r="C8" s="1" t="s">
        <v>16</v>
      </c>
      <c r="D8" s="1" t="s">
        <v>17</v>
      </c>
      <c r="E8" s="3">
        <v>-65.0</v>
      </c>
      <c r="F8" s="1">
        <f>F7+E8</f>
        <v>25570.52</v>
      </c>
    </row>
    <row r="9">
      <c r="A9" s="2">
        <v>45296.0</v>
      </c>
      <c r="B9" s="1" t="s">
        <v>18</v>
      </c>
      <c r="C9" s="1" t="s">
        <v>19</v>
      </c>
      <c r="D9" s="1" t="s">
        <v>20</v>
      </c>
      <c r="E9" s="3">
        <v>-60.1</v>
      </c>
      <c r="F9" s="1">
        <f>F8+E9</f>
        <v>25510.42</v>
      </c>
      <c r="G9" s="1" t="s">
        <v>100</v>
      </c>
    </row>
    <row r="10">
      <c r="A10" s="2">
        <v>45299.0</v>
      </c>
      <c r="B10" s="1" t="s">
        <v>22</v>
      </c>
      <c r="C10" s="1" t="s">
        <v>23</v>
      </c>
      <c r="D10" s="1" t="s">
        <v>24</v>
      </c>
      <c r="E10" s="3">
        <v>-200.0</v>
      </c>
      <c r="F10" s="1">
        <f>F9+E10</f>
        <v>25310.42</v>
      </c>
    </row>
    <row r="11">
      <c r="A11" s="2">
        <v>45303.0</v>
      </c>
      <c r="B11" s="1" t="s">
        <v>25</v>
      </c>
      <c r="C11" s="1" t="s">
        <v>26</v>
      </c>
      <c r="D11" s="1" t="s">
        <v>27</v>
      </c>
      <c r="E11" s="3">
        <v>-67.89</v>
      </c>
      <c r="F11" s="1">
        <f>F10+E11</f>
        <v>25242.53</v>
      </c>
      <c r="G11" s="1" t="s">
        <v>101</v>
      </c>
    </row>
    <row r="12">
      <c r="A12" s="2">
        <v>45306.0</v>
      </c>
      <c r="B12" s="1" t="s">
        <v>29</v>
      </c>
      <c r="C12" s="1" t="s">
        <v>30</v>
      </c>
      <c r="D12" s="1" t="s">
        <v>31</v>
      </c>
      <c r="E12" s="3">
        <v>-36.75</v>
      </c>
      <c r="F12" s="1">
        <f>F11+E12</f>
        <v>25205.78</v>
      </c>
    </row>
    <row r="13">
      <c r="A13" s="2">
        <v>45311.0</v>
      </c>
      <c r="B13" s="1" t="s">
        <v>32</v>
      </c>
      <c r="C13" s="1" t="s">
        <v>33</v>
      </c>
      <c r="D13" s="1" t="s">
        <v>34</v>
      </c>
      <c r="E13" s="3">
        <v>-8.9</v>
      </c>
      <c r="F13" s="1">
        <f>F12+E13</f>
        <v>25196.88</v>
      </c>
    </row>
    <row r="14">
      <c r="A14" s="2">
        <v>45316.0</v>
      </c>
      <c r="B14" s="1" t="s">
        <v>35</v>
      </c>
      <c r="C14" s="1" t="s">
        <v>36</v>
      </c>
      <c r="D14" s="1" t="s">
        <v>37</v>
      </c>
      <c r="E14" s="3">
        <v>-19.99</v>
      </c>
      <c r="F14" s="1">
        <f>F13+E14</f>
        <v>25176.89</v>
      </c>
    </row>
    <row r="15">
      <c r="A15" s="1" t="s">
        <v>38</v>
      </c>
      <c r="E15" s="1">
        <f>SUM(E6:E14)</f>
        <v>1811.37</v>
      </c>
    </row>
    <row r="17">
      <c r="A17" s="2">
        <v>45323.0</v>
      </c>
      <c r="B17" s="1" t="s">
        <v>9</v>
      </c>
      <c r="C17" s="1" t="s">
        <v>39</v>
      </c>
      <c r="D17" s="1" t="s">
        <v>11</v>
      </c>
      <c r="E17" s="3">
        <v>3250.0</v>
      </c>
      <c r="F17" s="1">
        <f>F14+E17</f>
        <v>28426.89</v>
      </c>
    </row>
    <row r="18">
      <c r="A18" s="2">
        <v>45323.0</v>
      </c>
      <c r="B18" s="1" t="s">
        <v>12</v>
      </c>
      <c r="C18" s="1" t="s">
        <v>40</v>
      </c>
      <c r="D18" s="1" t="s">
        <v>14</v>
      </c>
      <c r="E18" s="3">
        <v>-980.0</v>
      </c>
      <c r="F18" s="1">
        <f>F17+E18</f>
        <v>27446.89</v>
      </c>
    </row>
    <row r="19">
      <c r="A19" s="2">
        <v>45325.0</v>
      </c>
      <c r="B19" s="1" t="s">
        <v>15</v>
      </c>
      <c r="C19" s="1" t="s">
        <v>16</v>
      </c>
      <c r="D19" s="1" t="s">
        <v>17</v>
      </c>
      <c r="E19" s="3">
        <v>-65.0</v>
      </c>
      <c r="F19" s="1">
        <f>F18+E19</f>
        <v>27381.89</v>
      </c>
    </row>
    <row r="20">
      <c r="A20" s="2">
        <v>45327.0</v>
      </c>
      <c r="B20" s="1" t="s">
        <v>18</v>
      </c>
      <c r="C20" s="1" t="s">
        <v>19</v>
      </c>
      <c r="D20" s="1" t="s">
        <v>20</v>
      </c>
      <c r="E20" s="3">
        <v>-61.21</v>
      </c>
      <c r="F20" s="1">
        <f>F19+E20</f>
        <v>27320.68</v>
      </c>
      <c r="G20" s="1" t="s">
        <v>102</v>
      </c>
    </row>
    <row r="21">
      <c r="A21" s="2">
        <v>45330.0</v>
      </c>
      <c r="B21" s="1" t="s">
        <v>22</v>
      </c>
      <c r="C21" s="1" t="s">
        <v>23</v>
      </c>
      <c r="D21" s="1" t="s">
        <v>24</v>
      </c>
      <c r="E21" s="3">
        <v>-200.0</v>
      </c>
      <c r="F21" s="1">
        <f>F20+E21</f>
        <v>27120.68</v>
      </c>
    </row>
    <row r="22">
      <c r="A22" s="2">
        <v>45334.0</v>
      </c>
      <c r="B22" s="1" t="s">
        <v>25</v>
      </c>
      <c r="C22" s="1" t="s">
        <v>26</v>
      </c>
      <c r="D22" s="1" t="s">
        <v>27</v>
      </c>
      <c r="E22" s="3">
        <v>-68.62</v>
      </c>
      <c r="F22" s="1">
        <f>F21+E22</f>
        <v>27052.06</v>
      </c>
      <c r="G22" s="1" t="s">
        <v>103</v>
      </c>
    </row>
    <row r="23">
      <c r="A23" s="2">
        <v>45337.0</v>
      </c>
      <c r="B23" s="1" t="s">
        <v>29</v>
      </c>
      <c r="C23" s="1" t="s">
        <v>30</v>
      </c>
      <c r="D23" s="1" t="s">
        <v>31</v>
      </c>
      <c r="E23" s="3">
        <v>-41.0</v>
      </c>
      <c r="F23" s="1">
        <f>F22+E23</f>
        <v>27011.06</v>
      </c>
    </row>
    <row r="24">
      <c r="A24" s="2">
        <v>45342.0</v>
      </c>
      <c r="B24" s="1" t="s">
        <v>32</v>
      </c>
      <c r="C24" s="1" t="s">
        <v>33</v>
      </c>
      <c r="D24" s="1" t="s">
        <v>34</v>
      </c>
      <c r="E24" s="3">
        <v>-8.9</v>
      </c>
      <c r="F24" s="1">
        <f>F23+E24</f>
        <v>27002.16</v>
      </c>
    </row>
    <row r="25">
      <c r="A25" s="2">
        <v>45347.0</v>
      </c>
      <c r="B25" s="1" t="s">
        <v>35</v>
      </c>
      <c r="C25" s="1" t="s">
        <v>36</v>
      </c>
      <c r="D25" s="1" t="s">
        <v>37</v>
      </c>
      <c r="E25" s="3">
        <v>-19.99</v>
      </c>
      <c r="F25" s="1">
        <f>F24+E25</f>
        <v>26982.17</v>
      </c>
    </row>
    <row r="26">
      <c r="A26" s="1" t="s">
        <v>43</v>
      </c>
      <c r="E26" s="1">
        <f>SUM(E17:E25)</f>
        <v>1805.28</v>
      </c>
    </row>
    <row r="28">
      <c r="A28" s="2">
        <v>45352.0</v>
      </c>
      <c r="B28" s="1" t="s">
        <v>9</v>
      </c>
      <c r="C28" s="1" t="s">
        <v>44</v>
      </c>
      <c r="D28" s="1" t="s">
        <v>11</v>
      </c>
      <c r="E28" s="3">
        <v>3250.0</v>
      </c>
      <c r="F28" s="1">
        <f>F25+E28</f>
        <v>30232.17</v>
      </c>
    </row>
    <row r="29">
      <c r="A29" s="2">
        <v>45352.0</v>
      </c>
      <c r="B29" s="1" t="s">
        <v>12</v>
      </c>
      <c r="C29" s="1" t="s">
        <v>45</v>
      </c>
      <c r="D29" s="1" t="s">
        <v>14</v>
      </c>
      <c r="E29" s="3">
        <v>-980.0</v>
      </c>
      <c r="F29" s="1">
        <f>F28+E29</f>
        <v>29252.17</v>
      </c>
    </row>
    <row r="30">
      <c r="A30" s="2">
        <v>45354.0</v>
      </c>
      <c r="B30" s="1" t="s">
        <v>15</v>
      </c>
      <c r="C30" s="1" t="s">
        <v>16</v>
      </c>
      <c r="D30" s="1" t="s">
        <v>17</v>
      </c>
      <c r="E30" s="3">
        <v>-65.0</v>
      </c>
      <c r="F30" s="1">
        <f>F29+E30</f>
        <v>29187.17</v>
      </c>
    </row>
    <row r="31">
      <c r="A31" s="2">
        <v>45356.0</v>
      </c>
      <c r="B31" s="1" t="s">
        <v>18</v>
      </c>
      <c r="C31" s="1" t="s">
        <v>19</v>
      </c>
      <c r="D31" s="1" t="s">
        <v>20</v>
      </c>
      <c r="E31" s="3">
        <v>-62.32</v>
      </c>
      <c r="F31" s="1">
        <f>F30+E31</f>
        <v>29124.85</v>
      </c>
      <c r="G31" s="1" t="s">
        <v>104</v>
      </c>
    </row>
    <row r="32">
      <c r="A32" s="2">
        <v>45359.0</v>
      </c>
      <c r="B32" s="1" t="s">
        <v>22</v>
      </c>
      <c r="C32" s="1" t="s">
        <v>23</v>
      </c>
      <c r="D32" s="1" t="s">
        <v>24</v>
      </c>
      <c r="E32" s="3">
        <v>-200.0</v>
      </c>
      <c r="F32" s="1">
        <f>F31+E32</f>
        <v>28924.85</v>
      </c>
    </row>
    <row r="33">
      <c r="A33" s="2">
        <v>45359.0</v>
      </c>
      <c r="B33" s="1" t="s">
        <v>22</v>
      </c>
      <c r="C33" s="1" t="s">
        <v>105</v>
      </c>
      <c r="D33" s="1" t="s">
        <v>24</v>
      </c>
      <c r="E33" s="3">
        <v>500.0</v>
      </c>
      <c r="F33" s="1">
        <f>F32+E33</f>
        <v>29424.85</v>
      </c>
    </row>
    <row r="34">
      <c r="A34" s="2">
        <v>45363.0</v>
      </c>
      <c r="B34" s="1" t="s">
        <v>25</v>
      </c>
      <c r="C34" s="1" t="s">
        <v>26</v>
      </c>
      <c r="D34" s="1" t="s">
        <v>27</v>
      </c>
      <c r="E34" s="3">
        <v>-69.35</v>
      </c>
      <c r="F34" s="1">
        <f>F33+E34</f>
        <v>29355.5</v>
      </c>
      <c r="G34" s="1" t="s">
        <v>106</v>
      </c>
    </row>
    <row r="35">
      <c r="A35" s="2">
        <v>45366.0</v>
      </c>
      <c r="B35" s="1" t="s">
        <v>29</v>
      </c>
      <c r="C35" s="1" t="s">
        <v>30</v>
      </c>
      <c r="D35" s="1" t="s">
        <v>31</v>
      </c>
      <c r="E35" s="3">
        <v>-32.5</v>
      </c>
      <c r="F35" s="1">
        <f>F34+E35</f>
        <v>29323.0</v>
      </c>
    </row>
    <row r="36">
      <c r="A36" s="2">
        <v>45371.0</v>
      </c>
      <c r="B36" s="1" t="s">
        <v>32</v>
      </c>
      <c r="C36" s="1" t="s">
        <v>33</v>
      </c>
      <c r="D36" s="1" t="s">
        <v>34</v>
      </c>
      <c r="E36" s="3">
        <v>-8.9</v>
      </c>
      <c r="F36" s="1">
        <f>F35+E36</f>
        <v>29314.1</v>
      </c>
    </row>
    <row r="37">
      <c r="A37" s="2">
        <v>45376.0</v>
      </c>
      <c r="B37" s="1" t="s">
        <v>35</v>
      </c>
      <c r="C37" s="1" t="s">
        <v>36</v>
      </c>
      <c r="D37" s="1" t="s">
        <v>37</v>
      </c>
      <c r="E37" s="3">
        <v>-19.99</v>
      </c>
      <c r="F37" s="1">
        <f>F36+E37</f>
        <v>29294.11</v>
      </c>
    </row>
    <row r="38">
      <c r="A38" s="1" t="s">
        <v>48</v>
      </c>
      <c r="E38" s="1">
        <f>SUM(E28:E37)</f>
        <v>2311.94</v>
      </c>
    </row>
    <row r="40">
      <c r="A40" s="2">
        <v>45383.0</v>
      </c>
      <c r="B40" s="1" t="s">
        <v>9</v>
      </c>
      <c r="C40" s="1" t="s">
        <v>49</v>
      </c>
      <c r="D40" s="1" t="s">
        <v>11</v>
      </c>
      <c r="E40" s="3">
        <v>3250.0</v>
      </c>
      <c r="F40" s="1">
        <f>F37+E40</f>
        <v>32544.11</v>
      </c>
    </row>
    <row r="41">
      <c r="A41" s="2">
        <v>45383.0</v>
      </c>
      <c r="B41" s="1" t="s">
        <v>12</v>
      </c>
      <c r="C41" s="1" t="s">
        <v>50</v>
      </c>
      <c r="D41" s="1" t="s">
        <v>14</v>
      </c>
      <c r="E41" s="3">
        <v>-980.0</v>
      </c>
      <c r="F41" s="1">
        <f>F40+E41</f>
        <v>31564.11</v>
      </c>
    </row>
    <row r="42">
      <c r="A42" s="2">
        <v>45385.0</v>
      </c>
      <c r="B42" s="1" t="s">
        <v>15</v>
      </c>
      <c r="C42" s="1" t="s">
        <v>16</v>
      </c>
      <c r="D42" s="1" t="s">
        <v>17</v>
      </c>
      <c r="E42" s="3">
        <v>-65.0</v>
      </c>
      <c r="F42" s="1">
        <f>F41+E42</f>
        <v>31499.11</v>
      </c>
    </row>
    <row r="43">
      <c r="A43" s="2">
        <v>45387.0</v>
      </c>
      <c r="B43" s="1" t="s">
        <v>18</v>
      </c>
      <c r="C43" s="1" t="s">
        <v>19</v>
      </c>
      <c r="D43" s="1" t="s">
        <v>20</v>
      </c>
      <c r="E43" s="3">
        <v>-63.43</v>
      </c>
      <c r="F43" s="1">
        <f>F42+E43</f>
        <v>31435.68</v>
      </c>
      <c r="G43" s="1" t="s">
        <v>107</v>
      </c>
    </row>
    <row r="44">
      <c r="A44" s="2">
        <v>45390.0</v>
      </c>
      <c r="B44" s="1" t="s">
        <v>22</v>
      </c>
      <c r="C44" s="1" t="s">
        <v>23</v>
      </c>
      <c r="D44" s="1" t="s">
        <v>24</v>
      </c>
      <c r="E44" s="3">
        <v>-200.0</v>
      </c>
      <c r="F44" s="1">
        <f>F43+E44</f>
        <v>31235.68</v>
      </c>
    </row>
    <row r="45">
      <c r="A45" s="2">
        <v>45394.0</v>
      </c>
      <c r="B45" s="1" t="s">
        <v>25</v>
      </c>
      <c r="C45" s="1" t="s">
        <v>26</v>
      </c>
      <c r="D45" s="1" t="s">
        <v>27</v>
      </c>
      <c r="E45" s="3">
        <v>-70.08</v>
      </c>
      <c r="F45" s="1">
        <f>F44+E45</f>
        <v>31165.6</v>
      </c>
      <c r="G45" s="1" t="s">
        <v>108</v>
      </c>
    </row>
    <row r="46">
      <c r="A46" s="2">
        <v>45397.0</v>
      </c>
      <c r="B46" s="1" t="s">
        <v>29</v>
      </c>
      <c r="C46" s="1" t="s">
        <v>30</v>
      </c>
      <c r="D46" s="1" t="s">
        <v>31</v>
      </c>
      <c r="E46" s="3">
        <v>-36.75</v>
      </c>
      <c r="F46" s="1">
        <f>F45+E46</f>
        <v>31128.85</v>
      </c>
    </row>
    <row r="47">
      <c r="A47" s="2">
        <v>45402.0</v>
      </c>
      <c r="B47" s="1" t="s">
        <v>32</v>
      </c>
      <c r="C47" s="1" t="s">
        <v>33</v>
      </c>
      <c r="D47" s="1" t="s">
        <v>34</v>
      </c>
      <c r="E47" s="3">
        <v>-8.9</v>
      </c>
      <c r="F47" s="1">
        <f>F46+E47</f>
        <v>31119.95</v>
      </c>
    </row>
    <row r="48">
      <c r="A48" s="2">
        <v>45407.0</v>
      </c>
      <c r="B48" s="1" t="s">
        <v>35</v>
      </c>
      <c r="C48" s="1" t="s">
        <v>36</v>
      </c>
      <c r="D48" s="1" t="s">
        <v>37</v>
      </c>
      <c r="E48" s="3">
        <v>-19.99</v>
      </c>
      <c r="F48" s="1">
        <f>F47+E48</f>
        <v>31099.96</v>
      </c>
    </row>
    <row r="49">
      <c r="A49" s="1" t="s">
        <v>53</v>
      </c>
      <c r="E49" s="1">
        <f>SUM(E40:E48)</f>
        <v>1805.85</v>
      </c>
    </row>
    <row r="51">
      <c r="A51" s="2">
        <v>45413.0</v>
      </c>
      <c r="B51" s="1" t="s">
        <v>9</v>
      </c>
      <c r="C51" s="1" t="s">
        <v>54</v>
      </c>
      <c r="D51" s="1" t="s">
        <v>11</v>
      </c>
      <c r="E51" s="3">
        <v>3250.0</v>
      </c>
      <c r="F51" s="1">
        <f>F48+E51</f>
        <v>34349.96</v>
      </c>
    </row>
    <row r="52">
      <c r="A52" s="2">
        <v>45413.0</v>
      </c>
      <c r="B52" s="1" t="s">
        <v>12</v>
      </c>
      <c r="C52" s="1" t="s">
        <v>55</v>
      </c>
      <c r="D52" s="1" t="s">
        <v>14</v>
      </c>
      <c r="E52" s="3">
        <v>-980.0</v>
      </c>
      <c r="F52" s="1">
        <f>F51+E52</f>
        <v>33369.96</v>
      </c>
    </row>
    <row r="53">
      <c r="A53" s="2">
        <v>45415.0</v>
      </c>
      <c r="B53" s="1" t="s">
        <v>15</v>
      </c>
      <c r="C53" s="1" t="s">
        <v>16</v>
      </c>
      <c r="D53" s="1" t="s">
        <v>17</v>
      </c>
      <c r="E53" s="3">
        <v>-65.0</v>
      </c>
      <c r="F53" s="1">
        <f>F52+E53</f>
        <v>33304.96</v>
      </c>
    </row>
    <row r="54">
      <c r="A54" s="2">
        <v>45417.0</v>
      </c>
      <c r="B54" s="1" t="s">
        <v>18</v>
      </c>
      <c r="C54" s="1" t="s">
        <v>19</v>
      </c>
      <c r="D54" s="1" t="s">
        <v>20</v>
      </c>
      <c r="E54" s="3">
        <v>-64.54</v>
      </c>
      <c r="F54" s="1">
        <f>F53+E54</f>
        <v>33240.42</v>
      </c>
      <c r="G54" s="1" t="s">
        <v>109</v>
      </c>
    </row>
    <row r="55">
      <c r="A55" s="2">
        <v>45420.0</v>
      </c>
      <c r="B55" s="1" t="s">
        <v>22</v>
      </c>
      <c r="C55" s="1" t="s">
        <v>23</v>
      </c>
      <c r="D55" s="1" t="s">
        <v>24</v>
      </c>
      <c r="E55" s="3">
        <v>-200.0</v>
      </c>
      <c r="F55" s="1">
        <f>F54+E55</f>
        <v>33040.42</v>
      </c>
    </row>
    <row r="56">
      <c r="A56" s="2">
        <v>45424.0</v>
      </c>
      <c r="B56" s="1" t="s">
        <v>25</v>
      </c>
      <c r="C56" s="1" t="s">
        <v>26</v>
      </c>
      <c r="D56" s="1" t="s">
        <v>27</v>
      </c>
      <c r="E56" s="3">
        <v>-70.81</v>
      </c>
      <c r="F56" s="1">
        <f>F55+E56</f>
        <v>32969.61</v>
      </c>
      <c r="G56" s="1" t="s">
        <v>110</v>
      </c>
    </row>
    <row r="57">
      <c r="A57" s="2">
        <v>45427.0</v>
      </c>
      <c r="B57" s="1" t="s">
        <v>29</v>
      </c>
      <c r="C57" s="1" t="s">
        <v>30</v>
      </c>
      <c r="D57" s="1" t="s">
        <v>31</v>
      </c>
      <c r="E57" s="3">
        <v>-41.0</v>
      </c>
      <c r="F57" s="1">
        <f>F56+E57</f>
        <v>32928.61</v>
      </c>
    </row>
    <row r="58">
      <c r="A58" s="2">
        <v>45432.0</v>
      </c>
      <c r="B58" s="1" t="s">
        <v>32</v>
      </c>
      <c r="C58" s="1" t="s">
        <v>33</v>
      </c>
      <c r="D58" s="1" t="s">
        <v>34</v>
      </c>
      <c r="E58" s="3">
        <v>-8.9</v>
      </c>
      <c r="F58" s="1">
        <f>F57+E58</f>
        <v>32919.71</v>
      </c>
    </row>
    <row r="59">
      <c r="A59" s="2">
        <v>45437.0</v>
      </c>
      <c r="B59" s="1" t="s">
        <v>35</v>
      </c>
      <c r="C59" s="1" t="s">
        <v>36</v>
      </c>
      <c r="D59" s="1" t="s">
        <v>37</v>
      </c>
      <c r="E59" s="3">
        <v>-19.99</v>
      </c>
      <c r="F59" s="1">
        <f>F58+E59</f>
        <v>32899.72</v>
      </c>
    </row>
    <row r="60">
      <c r="A60" s="1" t="s">
        <v>58</v>
      </c>
      <c r="E60" s="1">
        <f>SUM(E51:E59)</f>
        <v>1799.76</v>
      </c>
    </row>
    <row r="62">
      <c r="A62" s="2">
        <v>45444.0</v>
      </c>
      <c r="B62" s="1" t="s">
        <v>9</v>
      </c>
      <c r="C62" s="1" t="s">
        <v>59</v>
      </c>
      <c r="D62" s="1" t="s">
        <v>11</v>
      </c>
      <c r="E62" s="3">
        <v>3250.0</v>
      </c>
      <c r="F62" s="1">
        <f>F59+E62</f>
        <v>36149.72</v>
      </c>
    </row>
    <row r="63">
      <c r="A63" s="2">
        <v>45444.0</v>
      </c>
      <c r="B63" s="1" t="s">
        <v>12</v>
      </c>
      <c r="C63" s="1" t="s">
        <v>60</v>
      </c>
      <c r="D63" s="1" t="s">
        <v>14</v>
      </c>
      <c r="E63" s="3">
        <v>-980.0</v>
      </c>
      <c r="F63" s="1">
        <f>F62+E63</f>
        <v>35169.72</v>
      </c>
    </row>
    <row r="64">
      <c r="A64" s="2">
        <v>45446.0</v>
      </c>
      <c r="B64" s="1" t="s">
        <v>15</v>
      </c>
      <c r="C64" s="1" t="s">
        <v>16</v>
      </c>
      <c r="D64" s="1" t="s">
        <v>17</v>
      </c>
      <c r="E64" s="3">
        <v>-65.0</v>
      </c>
      <c r="F64" s="1">
        <f>F63+E64</f>
        <v>35104.72</v>
      </c>
    </row>
    <row r="65">
      <c r="A65" s="2">
        <v>45448.0</v>
      </c>
      <c r="B65" s="1" t="s">
        <v>18</v>
      </c>
      <c r="C65" s="1" t="s">
        <v>19</v>
      </c>
      <c r="D65" s="1" t="s">
        <v>20</v>
      </c>
      <c r="E65" s="3">
        <v>-65.65</v>
      </c>
      <c r="F65" s="1">
        <f>F64+E65</f>
        <v>35039.07</v>
      </c>
      <c r="G65" s="1" t="s">
        <v>111</v>
      </c>
    </row>
    <row r="66">
      <c r="A66" s="2">
        <v>45451.0</v>
      </c>
      <c r="B66" s="1" t="s">
        <v>22</v>
      </c>
      <c r="C66" s="1" t="s">
        <v>23</v>
      </c>
      <c r="D66" s="1" t="s">
        <v>24</v>
      </c>
      <c r="E66" s="3">
        <v>-200.0</v>
      </c>
      <c r="F66" s="1">
        <f>F65+E66</f>
        <v>34839.07</v>
      </c>
    </row>
    <row r="67">
      <c r="A67" s="2">
        <v>45455.0</v>
      </c>
      <c r="B67" s="1" t="s">
        <v>25</v>
      </c>
      <c r="C67" s="1" t="s">
        <v>26</v>
      </c>
      <c r="D67" s="1" t="s">
        <v>27</v>
      </c>
      <c r="E67" s="3">
        <v>-71.54</v>
      </c>
      <c r="F67" s="1">
        <f>F66+E67</f>
        <v>34767.53</v>
      </c>
      <c r="G67" s="1" t="s">
        <v>112</v>
      </c>
    </row>
    <row r="68">
      <c r="A68" s="2">
        <v>45458.0</v>
      </c>
      <c r="B68" s="1" t="s">
        <v>29</v>
      </c>
      <c r="C68" s="1" t="s">
        <v>30</v>
      </c>
      <c r="D68" s="1" t="s">
        <v>31</v>
      </c>
      <c r="E68" s="3">
        <v>-32.5</v>
      </c>
      <c r="F68" s="1">
        <f>F67+E68</f>
        <v>34735.03</v>
      </c>
    </row>
    <row r="69">
      <c r="A69" s="2">
        <v>45463.0</v>
      </c>
      <c r="B69" s="1" t="s">
        <v>32</v>
      </c>
      <c r="C69" s="1" t="s">
        <v>33</v>
      </c>
      <c r="D69" s="1" t="s">
        <v>34</v>
      </c>
      <c r="E69" s="3">
        <v>-8.9</v>
      </c>
      <c r="F69" s="1">
        <f>F68+E69</f>
        <v>34726.13</v>
      </c>
    </row>
    <row r="70">
      <c r="A70" s="2">
        <v>45465.0</v>
      </c>
      <c r="B70" s="1" t="s">
        <v>113</v>
      </c>
      <c r="C70" s="1" t="s">
        <v>26</v>
      </c>
      <c r="D70" s="1" t="s">
        <v>27</v>
      </c>
      <c r="E70" s="3">
        <v>-61.2</v>
      </c>
      <c r="F70" s="1">
        <f>F69+E70</f>
        <v>34664.93</v>
      </c>
    </row>
    <row r="71">
      <c r="A71" s="2">
        <v>45468.0</v>
      </c>
      <c r="B71" s="1" t="s">
        <v>35</v>
      </c>
      <c r="C71" s="1" t="s">
        <v>36</v>
      </c>
      <c r="D71" s="1" t="s">
        <v>37</v>
      </c>
      <c r="E71" s="3">
        <v>-19.99</v>
      </c>
      <c r="F71" s="1">
        <f>F70+E71</f>
        <v>34644.94</v>
      </c>
    </row>
    <row r="72">
      <c r="A72" s="1" t="s">
        <v>63</v>
      </c>
      <c r="E72" s="1">
        <f>SUM(E62:E71)</f>
        <v>1745.22</v>
      </c>
    </row>
  </sheetData>
  <mergeCells count="1">
    <mergeCell ref="A1:G1"/>
  </mergeCells>
  <pageMargins left="0.7" right="0.7" top="0.75" bottom="0.75" header="0.3" footer="0.3"/>
</worksheet>
</file>